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01-工作\0. 科思通途\3. 公司基本工作\2. 竞赛\01. 数学建模\1. 数学建模视频\01-数学建模算法精讲\01-韩\01-评价类-层次分析法\原理更新重置\"/>
    </mc:Choice>
  </mc:AlternateContent>
  <xr:revisionPtr revIDLastSave="0" documentId="13_ncr:1_{ED8CEB6D-0311-47F3-9E03-782B0863981E}" xr6:coauthVersionLast="47" xr6:coauthVersionMax="47" xr10:uidLastSave="{00000000-0000-0000-0000-000000000000}"/>
  <bookViews>
    <workbookView xWindow="3204" yWindow="3540" windowWidth="22068" windowHeight="11724" xr2:uid="{00000000-000D-0000-FFFF-FFFF00000000}"/>
  </bookViews>
  <sheets>
    <sheet name="一致性检验" sheetId="4" r:id="rId1"/>
    <sheet name="计算权重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4" l="1"/>
  <c r="K19" i="4"/>
  <c r="K18" i="4"/>
  <c r="K17" i="4"/>
  <c r="E32" i="1"/>
  <c r="E31" i="1"/>
  <c r="E30" i="1"/>
  <c r="E29" i="1"/>
  <c r="L25" i="1"/>
  <c r="L24" i="1"/>
  <c r="L23" i="1"/>
  <c r="L22" i="1"/>
  <c r="I17" i="1"/>
  <c r="I16" i="1"/>
  <c r="I15" i="1"/>
  <c r="I14" i="1"/>
  <c r="L14" i="1" s="1"/>
  <c r="W6" i="4"/>
  <c r="R8" i="4"/>
  <c r="O8" i="4"/>
  <c r="F6" i="4"/>
  <c r="F10" i="4" s="1"/>
  <c r="E6" i="4"/>
  <c r="E10" i="4" s="1"/>
  <c r="D6" i="4"/>
  <c r="D10" i="4" s="1"/>
  <c r="C6" i="4"/>
  <c r="C10" i="4" s="1"/>
  <c r="C18" i="4" l="1"/>
  <c r="L15" i="1"/>
  <c r="L16" i="1"/>
  <c r="L17" i="1"/>
  <c r="D11" i="4"/>
  <c r="E12" i="4"/>
  <c r="F12" i="4"/>
  <c r="C11" i="4"/>
  <c r="E11" i="4"/>
  <c r="F11" i="4"/>
  <c r="C12" i="4"/>
  <c r="D12" i="4"/>
  <c r="C20" i="4" l="1"/>
  <c r="C19" i="4"/>
  <c r="W7" i="4"/>
  <c r="G9" i="1"/>
  <c r="M8" i="1" s="1"/>
  <c r="H9" i="1"/>
  <c r="N8" i="1" s="1"/>
  <c r="F9" i="1"/>
  <c r="L8" i="1" s="1"/>
  <c r="E9" i="1"/>
  <c r="K8" i="1" s="1"/>
  <c r="W8" i="4" l="1"/>
  <c r="X8" i="4" s="1"/>
  <c r="O8" i="1"/>
  <c r="K5" i="1"/>
  <c r="K6" i="1"/>
  <c r="K7" i="1"/>
  <c r="L5" i="1"/>
  <c r="L6" i="1"/>
  <c r="L7" i="1"/>
  <c r="M5" i="1"/>
  <c r="M6" i="1"/>
  <c r="M7" i="1"/>
  <c r="N5" i="1"/>
  <c r="N6" i="1"/>
  <c r="N7" i="1"/>
  <c r="O7" i="1" l="1"/>
  <c r="O6" i="1"/>
  <c r="O5" i="1"/>
</calcChain>
</file>

<file path=xl/sharedStrings.xml><?xml version="1.0" encoding="utf-8"?>
<sst xmlns="http://schemas.openxmlformats.org/spreadsheetml/2006/main" count="114" uniqueCount="39">
  <si>
    <t>准则层判断矩阵</t>
    <phoneticPr fontId="1" type="noConversion"/>
  </si>
  <si>
    <t>/</t>
    <phoneticPr fontId="1" type="noConversion"/>
  </si>
  <si>
    <t>B1</t>
    <phoneticPr fontId="1" type="noConversion"/>
  </si>
  <si>
    <t>B2</t>
    <phoneticPr fontId="1" type="noConversion"/>
  </si>
  <si>
    <t>B3</t>
  </si>
  <si>
    <t>归一化（列）</t>
    <phoneticPr fontId="1" type="noConversion"/>
  </si>
  <si>
    <t>求和</t>
    <phoneticPr fontId="1" type="noConversion"/>
  </si>
  <si>
    <t>B4</t>
    <phoneticPr fontId="1" type="noConversion"/>
  </si>
  <si>
    <t>A1</t>
    <phoneticPr fontId="1" type="noConversion"/>
  </si>
  <si>
    <t>A2</t>
  </si>
  <si>
    <t>A3</t>
  </si>
  <si>
    <t>计算最大特征值</t>
    <phoneticPr fontId="1" type="noConversion"/>
  </si>
  <si>
    <t>n</t>
    <phoneticPr fontId="1" type="noConversion"/>
  </si>
  <si>
    <t>RI</t>
    <phoneticPr fontId="1" type="noConversion"/>
  </si>
  <si>
    <t xml:space="preserve">一致性指标 RI </t>
    <phoneticPr fontId="1" type="noConversion"/>
  </si>
  <si>
    <t>一致性比例CR</t>
    <phoneticPr fontId="1" type="noConversion"/>
  </si>
  <si>
    <t>一致性指标CI</t>
    <phoneticPr fontId="1" type="noConversion"/>
  </si>
  <si>
    <t>一致性指标RI</t>
    <phoneticPr fontId="1" type="noConversion"/>
  </si>
  <si>
    <t>小米</t>
    <phoneticPr fontId="1" type="noConversion"/>
  </si>
  <si>
    <t>华为</t>
    <phoneticPr fontId="1" type="noConversion"/>
  </si>
  <si>
    <t>苹果</t>
    <phoneticPr fontId="1" type="noConversion"/>
  </si>
  <si>
    <t>n=</t>
    <phoneticPr fontId="1" type="noConversion"/>
  </si>
  <si>
    <t>A4</t>
    <phoneticPr fontId="1" type="noConversion"/>
  </si>
  <si>
    <t>权重</t>
    <phoneticPr fontId="1" type="noConversion"/>
  </si>
  <si>
    <t>求积开n次根</t>
    <phoneticPr fontId="1" type="noConversion"/>
  </si>
  <si>
    <t>评价对象</t>
    <phoneticPr fontId="1" type="noConversion"/>
  </si>
  <si>
    <t>特征向量</t>
    <phoneticPr fontId="1" type="noConversion"/>
  </si>
  <si>
    <t>性能跑分</t>
    <phoneticPr fontId="1" type="noConversion"/>
  </si>
  <si>
    <t>拍照像素</t>
    <phoneticPr fontId="1" type="noConversion"/>
  </si>
  <si>
    <t>电池续航</t>
    <phoneticPr fontId="1" type="noConversion"/>
  </si>
  <si>
    <t>充电速度</t>
    <phoneticPr fontId="1" type="noConversion"/>
  </si>
  <si>
    <t>数据归一化</t>
    <phoneticPr fontId="1" type="noConversion"/>
  </si>
  <si>
    <t>指标求和</t>
    <phoneticPr fontId="1" type="noConversion"/>
  </si>
  <si>
    <t>算术平均法</t>
    <phoneticPr fontId="1" type="noConversion"/>
  </si>
  <si>
    <t>几何平均法</t>
    <phoneticPr fontId="1" type="noConversion"/>
  </si>
  <si>
    <t>特征值法</t>
    <phoneticPr fontId="1" type="noConversion"/>
  </si>
  <si>
    <t>最终权重</t>
    <phoneticPr fontId="1" type="noConversion"/>
  </si>
  <si>
    <t>计算得分</t>
    <phoneticPr fontId="1" type="noConversion"/>
  </si>
  <si>
    <t>得分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</si>
</sst>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00_ "/>
    <numFmt numFmtId="178" formatCode="0.000_ "/>
    <numFmt numFmtId="186" formatCode="0.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2" fontId="0" fillId="4" borderId="1" xfId="0" applyNumberForma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5" borderId="8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right" vertical="center"/>
    </xf>
    <xf numFmtId="0" fontId="0" fillId="3" borderId="5" xfId="0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86" fontId="0" fillId="0" borderId="1" xfId="0" applyNumberForma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86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2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477078</xdr:colOff>
      <xdr:row>0</xdr:row>
      <xdr:rowOff>235041</xdr:rowOff>
    </xdr:from>
    <xdr:to>
      <xdr:col>21</xdr:col>
      <xdr:colOff>89425</xdr:colOff>
      <xdr:row>2</xdr:row>
      <xdr:rowOff>162853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01B88E4-484C-4841-B010-265FFA7D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2330" y="486832"/>
          <a:ext cx="990573" cy="4313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21</xdr:col>
      <xdr:colOff>309191</xdr:colOff>
      <xdr:row>0</xdr:row>
      <xdr:rowOff>231913</xdr:rowOff>
    </xdr:from>
    <xdr:to>
      <xdr:col>23</xdr:col>
      <xdr:colOff>100505</xdr:colOff>
      <xdr:row>2</xdr:row>
      <xdr:rowOff>159725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8BABA74-5457-45B6-80F7-ABE016185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82669" y="483704"/>
          <a:ext cx="712340" cy="4313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F595-1FAB-4099-AD47-E460AD68F303}">
  <dimension ref="B2:AC22"/>
  <sheetViews>
    <sheetView tabSelected="1" zoomScale="115" zoomScaleNormal="115" workbookViewId="0">
      <selection activeCell="J3" sqref="J3"/>
    </sheetView>
  </sheetViews>
  <sheetFormatPr defaultRowHeight="19.8" customHeight="1" x14ac:dyDescent="0.25"/>
  <cols>
    <col min="1" max="7" width="8.88671875" style="1"/>
    <col min="8" max="8" width="3.77734375" style="1" customWidth="1"/>
    <col min="9" max="9" width="5.5546875" style="1" customWidth="1"/>
    <col min="10" max="11" width="8.88671875" style="1"/>
    <col min="12" max="12" width="3.21875" style="1" customWidth="1"/>
    <col min="13" max="13" width="3.21875" style="5" customWidth="1"/>
    <col min="14" max="19" width="8.88671875" style="1"/>
    <col min="20" max="22" width="5.5546875" style="1" customWidth="1"/>
    <col min="23" max="23" width="7.77734375" style="1" bestFit="1" customWidth="1"/>
    <col min="24" max="24" width="5.5546875" style="1" customWidth="1"/>
    <col min="25" max="16384" width="8.88671875" style="1"/>
  </cols>
  <sheetData>
    <row r="2" spans="2:29" ht="19.8" customHeight="1" x14ac:dyDescent="0.25">
      <c r="B2" s="11"/>
      <c r="C2" s="12" t="s">
        <v>27</v>
      </c>
      <c r="D2" s="12" t="s">
        <v>28</v>
      </c>
      <c r="E2" s="12" t="s">
        <v>29</v>
      </c>
      <c r="F2" s="12" t="s">
        <v>30</v>
      </c>
    </row>
    <row r="3" spans="2:29" ht="19.8" customHeight="1" x14ac:dyDescent="0.25">
      <c r="B3" s="12" t="s">
        <v>18</v>
      </c>
      <c r="C3" s="2">
        <v>81</v>
      </c>
      <c r="D3" s="2">
        <v>48</v>
      </c>
      <c r="E3" s="2">
        <v>9</v>
      </c>
      <c r="F3" s="2">
        <v>67</v>
      </c>
    </row>
    <row r="4" spans="2:29" ht="16.2" customHeight="1" x14ac:dyDescent="0.25">
      <c r="B4" s="12" t="s">
        <v>19</v>
      </c>
      <c r="C4" s="2">
        <v>70</v>
      </c>
      <c r="D4" s="2">
        <v>50</v>
      </c>
      <c r="E4" s="2">
        <v>12</v>
      </c>
      <c r="F4" s="2">
        <v>66</v>
      </c>
    </row>
    <row r="5" spans="2:29" ht="19.8" customHeight="1" x14ac:dyDescent="0.25">
      <c r="B5" s="12" t="s">
        <v>20</v>
      </c>
      <c r="C5" s="2">
        <v>100</v>
      </c>
      <c r="D5" s="2">
        <v>12</v>
      </c>
      <c r="E5" s="2">
        <v>10</v>
      </c>
      <c r="F5" s="2">
        <v>20</v>
      </c>
      <c r="H5" s="19" t="s">
        <v>14</v>
      </c>
      <c r="I5" s="6" t="s">
        <v>12</v>
      </c>
      <c r="J5" s="6" t="s">
        <v>13</v>
      </c>
      <c r="L5" s="20" t="s">
        <v>21</v>
      </c>
      <c r="M5" s="21">
        <v>4</v>
      </c>
      <c r="N5" s="22" t="s">
        <v>0</v>
      </c>
      <c r="O5" s="23"/>
      <c r="P5" s="23"/>
      <c r="Q5" s="23"/>
      <c r="R5" s="24"/>
      <c r="T5" s="15" t="s">
        <v>11</v>
      </c>
      <c r="U5" s="15"/>
      <c r="V5" s="15"/>
      <c r="W5" s="7">
        <v>4.0149999999999997</v>
      </c>
      <c r="X5"/>
      <c r="Y5"/>
      <c r="Z5"/>
    </row>
    <row r="6" spans="2:29" ht="19.8" customHeight="1" x14ac:dyDescent="0.25">
      <c r="B6" s="2" t="s">
        <v>32</v>
      </c>
      <c r="C6" s="2">
        <f>SUM(C3:C5)</f>
        <v>251</v>
      </c>
      <c r="D6" s="2">
        <f t="shared" ref="D6:F6" si="0">SUM(D3:D5)</f>
        <v>110</v>
      </c>
      <c r="E6" s="2">
        <f t="shared" si="0"/>
        <v>31</v>
      </c>
      <c r="F6" s="2">
        <f t="shared" si="0"/>
        <v>153</v>
      </c>
      <c r="H6" s="19"/>
      <c r="I6" s="2">
        <v>1</v>
      </c>
      <c r="J6" s="2">
        <v>0</v>
      </c>
      <c r="L6" s="20"/>
      <c r="M6" s="21"/>
      <c r="N6" s="2" t="s">
        <v>1</v>
      </c>
      <c r="O6" s="2" t="s">
        <v>2</v>
      </c>
      <c r="P6" s="2" t="s">
        <v>3</v>
      </c>
      <c r="Q6" s="2" t="s">
        <v>4</v>
      </c>
      <c r="R6" s="2" t="s">
        <v>7</v>
      </c>
      <c r="T6" s="15" t="s">
        <v>16</v>
      </c>
      <c r="U6" s="15"/>
      <c r="V6" s="15"/>
      <c r="W6" s="4">
        <f>(W5-M5)/(M5-1)</f>
        <v>4.9999999999998934E-3</v>
      </c>
      <c r="X6"/>
      <c r="Y6"/>
      <c r="Z6"/>
      <c r="AA6"/>
      <c r="AB6"/>
      <c r="AC6"/>
    </row>
    <row r="7" spans="2:29" ht="19.8" customHeight="1" x14ac:dyDescent="0.25">
      <c r="H7" s="19"/>
      <c r="I7" s="2">
        <v>2</v>
      </c>
      <c r="J7" s="2">
        <v>0</v>
      </c>
      <c r="L7" s="20"/>
      <c r="M7" s="21"/>
      <c r="N7" s="2" t="s">
        <v>8</v>
      </c>
      <c r="O7" s="7">
        <v>1</v>
      </c>
      <c r="P7" s="7">
        <v>5</v>
      </c>
      <c r="Q7" s="7">
        <v>3</v>
      </c>
      <c r="R7" s="7">
        <v>2</v>
      </c>
      <c r="T7" s="16" t="s">
        <v>17</v>
      </c>
      <c r="U7" s="17"/>
      <c r="V7" s="18"/>
      <c r="W7" s="4">
        <f>VLOOKUP(M5,$I$6:$J$14,2,0)</f>
        <v>0.9</v>
      </c>
      <c r="X7"/>
      <c r="Y7"/>
      <c r="Z7"/>
      <c r="AA7"/>
      <c r="AB7"/>
      <c r="AC7"/>
    </row>
    <row r="8" spans="2:29" ht="19.8" customHeight="1" x14ac:dyDescent="0.25">
      <c r="B8" s="14" t="s">
        <v>31</v>
      </c>
      <c r="C8" s="14"/>
      <c r="H8" s="19"/>
      <c r="I8" s="2">
        <v>3</v>
      </c>
      <c r="J8" s="2">
        <v>0.57999999999999996</v>
      </c>
      <c r="L8" s="20"/>
      <c r="M8" s="21"/>
      <c r="N8" s="2" t="s">
        <v>9</v>
      </c>
      <c r="O8" s="8">
        <f>1/5</f>
        <v>0.2</v>
      </c>
      <c r="P8" s="7">
        <v>1</v>
      </c>
      <c r="Q8" s="7">
        <v>2</v>
      </c>
      <c r="R8" s="8">
        <f>1/3</f>
        <v>0.33333333333333331</v>
      </c>
      <c r="T8" s="15" t="s">
        <v>15</v>
      </c>
      <c r="U8" s="15"/>
      <c r="V8" s="15"/>
      <c r="W8" s="4">
        <f>W6/W7</f>
        <v>5.5555555555554369E-3</v>
      </c>
      <c r="X8" s="10" t="str">
        <f>IF(W8&lt;0.1,"CR&lt;0.1，一致性检验合格","CR≥0.1，一致性检验不合格，需重新调整判断矩阵")</f>
        <v>CR&lt;0.1，一致性检验合格</v>
      </c>
      <c r="Y8" s="5"/>
      <c r="Z8" s="5"/>
      <c r="AA8"/>
      <c r="AB8"/>
      <c r="AC8"/>
    </row>
    <row r="9" spans="2:29" ht="19.8" customHeight="1" x14ac:dyDescent="0.25">
      <c r="B9" s="11"/>
      <c r="C9" s="12" t="s">
        <v>27</v>
      </c>
      <c r="D9" s="12" t="s">
        <v>28</v>
      </c>
      <c r="E9" s="12" t="s">
        <v>29</v>
      </c>
      <c r="F9" s="12" t="s">
        <v>30</v>
      </c>
      <c r="H9" s="19"/>
      <c r="I9" s="2">
        <v>4</v>
      </c>
      <c r="J9" s="2">
        <v>0.9</v>
      </c>
      <c r="L9" s="20"/>
      <c r="M9" s="21"/>
      <c r="N9" s="2" t="s">
        <v>10</v>
      </c>
      <c r="O9" s="8">
        <v>0.33333333333333331</v>
      </c>
      <c r="P9" s="8">
        <v>0.5</v>
      </c>
      <c r="Q9" s="7">
        <v>1</v>
      </c>
      <c r="R9" s="7">
        <v>2</v>
      </c>
      <c r="AA9" s="5"/>
      <c r="AB9" s="5"/>
      <c r="AC9" s="5"/>
    </row>
    <row r="10" spans="2:29" ht="19.8" customHeight="1" x14ac:dyDescent="0.25">
      <c r="B10" s="12" t="s">
        <v>18</v>
      </c>
      <c r="C10" s="13">
        <f>C3/C$6</f>
        <v>0.32270916334661354</v>
      </c>
      <c r="D10" s="13">
        <f t="shared" ref="D10:F10" si="1">D3/D$6</f>
        <v>0.43636363636363634</v>
      </c>
      <c r="E10" s="13">
        <f t="shared" si="1"/>
        <v>0.29032258064516131</v>
      </c>
      <c r="F10" s="13">
        <f t="shared" si="1"/>
        <v>0.43790849673202614</v>
      </c>
      <c r="H10" s="19"/>
      <c r="I10" s="2">
        <v>5</v>
      </c>
      <c r="J10" s="2">
        <v>1.1200000000000001</v>
      </c>
      <c r="L10" s="20"/>
      <c r="M10" s="21"/>
      <c r="N10" s="2" t="s">
        <v>22</v>
      </c>
      <c r="O10" s="8">
        <v>0.5</v>
      </c>
      <c r="P10" s="7">
        <v>3</v>
      </c>
      <c r="Q10" s="8">
        <v>0.5</v>
      </c>
      <c r="R10" s="7">
        <v>1</v>
      </c>
    </row>
    <row r="11" spans="2:29" ht="19.8" customHeight="1" x14ac:dyDescent="0.25">
      <c r="B11" s="12" t="s">
        <v>19</v>
      </c>
      <c r="C11" s="13">
        <f t="shared" ref="C11:F11" si="2">C4/C$6</f>
        <v>0.2788844621513944</v>
      </c>
      <c r="D11" s="13">
        <f t="shared" si="2"/>
        <v>0.45454545454545453</v>
      </c>
      <c r="E11" s="13">
        <f t="shared" si="2"/>
        <v>0.38709677419354838</v>
      </c>
      <c r="F11" s="13">
        <f t="shared" si="2"/>
        <v>0.43137254901960786</v>
      </c>
      <c r="H11" s="19"/>
      <c r="I11" s="2">
        <v>6</v>
      </c>
      <c r="J11" s="2">
        <v>1.24</v>
      </c>
      <c r="S11"/>
    </row>
    <row r="12" spans="2:29" ht="19.8" customHeight="1" x14ac:dyDescent="0.25">
      <c r="B12" s="12" t="s">
        <v>20</v>
      </c>
      <c r="C12" s="13">
        <f t="shared" ref="C12:F12" si="3">C5/C$6</f>
        <v>0.39840637450199201</v>
      </c>
      <c r="D12" s="13">
        <f t="shared" si="3"/>
        <v>0.10909090909090909</v>
      </c>
      <c r="E12" s="13">
        <f t="shared" si="3"/>
        <v>0.32258064516129031</v>
      </c>
      <c r="F12" s="13">
        <f t="shared" si="3"/>
        <v>0.13071895424836602</v>
      </c>
      <c r="H12" s="19"/>
      <c r="I12" s="2">
        <v>7</v>
      </c>
      <c r="J12" s="2">
        <v>1.32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2:29" ht="19.8" customHeight="1" x14ac:dyDescent="0.25">
      <c r="H13" s="19"/>
      <c r="I13" s="2">
        <v>8</v>
      </c>
      <c r="J13" s="2">
        <v>1.41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 spans="2:29" ht="19.8" customHeight="1" x14ac:dyDescent="0.25">
      <c r="H14" s="19"/>
      <c r="I14" s="2">
        <v>9</v>
      </c>
      <c r="J14" s="2">
        <v>1.45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 spans="2:29" ht="19.8" customHeight="1" x14ac:dyDescent="0.25"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 spans="2:29" ht="19.8" customHeight="1" x14ac:dyDescent="0.25">
      <c r="B16" s="14" t="s">
        <v>37</v>
      </c>
      <c r="C16" s="14"/>
      <c r="H16" s="25" t="s">
        <v>25</v>
      </c>
      <c r="I16" s="25"/>
      <c r="J16" s="25"/>
      <c r="K16" s="2" t="s">
        <v>23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 s="5"/>
      <c r="AC16" s="5"/>
    </row>
    <row r="17" spans="2:27" ht="19.8" customHeight="1" x14ac:dyDescent="0.25">
      <c r="B17" s="11"/>
      <c r="C17" s="12" t="s">
        <v>38</v>
      </c>
      <c r="D17"/>
      <c r="E17"/>
      <c r="F17"/>
      <c r="H17" s="15" t="s">
        <v>27</v>
      </c>
      <c r="I17" s="15"/>
      <c r="J17" s="15"/>
      <c r="K17" s="9">
        <f>计算权重!E29</f>
        <v>0.48281913785867986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2:27" ht="19.8" customHeight="1" x14ac:dyDescent="0.25">
      <c r="B18" s="12" t="s">
        <v>18</v>
      </c>
      <c r="C18" s="13">
        <f>C10*$K$17+D10*$K$18+E10*$K$19+F10*$K$20</f>
        <v>0.35896364332790975</v>
      </c>
      <c r="D18"/>
      <c r="E18"/>
      <c r="F18"/>
      <c r="H18" s="15" t="s">
        <v>28</v>
      </c>
      <c r="I18" s="15"/>
      <c r="J18" s="15"/>
      <c r="K18" s="9">
        <f>计算权重!E30</f>
        <v>8.8214820391652571E-2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2:27" ht="19.8" customHeight="1" x14ac:dyDescent="0.25">
      <c r="B19" s="12" t="s">
        <v>19</v>
      </c>
      <c r="C19" s="13">
        <f t="shared" ref="C19:C20" si="4">C11*$K$17+D11*$K$18+E11*$K$19+F11*$K$20</f>
        <v>0.3528361367839481</v>
      </c>
      <c r="D19"/>
      <c r="E19"/>
      <c r="F19"/>
      <c r="H19" s="15" t="s">
        <v>29</v>
      </c>
      <c r="I19" s="15"/>
      <c r="J19" s="15"/>
      <c r="K19" s="9">
        <f>计算权重!E31</f>
        <v>0.1571161504563979</v>
      </c>
      <c r="M19" s="1"/>
    </row>
    <row r="20" spans="2:27" ht="19.8" customHeight="1" x14ac:dyDescent="0.25">
      <c r="B20" s="12" t="s">
        <v>20</v>
      </c>
      <c r="C20" s="13">
        <f t="shared" si="4"/>
        <v>0.28820021988814215</v>
      </c>
      <c r="D20"/>
      <c r="E20"/>
      <c r="F20"/>
      <c r="H20" s="15" t="s">
        <v>30</v>
      </c>
      <c r="I20" s="15"/>
      <c r="J20" s="15"/>
      <c r="K20" s="9">
        <f>计算权重!E32</f>
        <v>0.2718498912932697</v>
      </c>
      <c r="M20" s="1"/>
    </row>
    <row r="21" spans="2:27" ht="19.8" customHeight="1" x14ac:dyDescent="0.25">
      <c r="M21" s="1"/>
    </row>
    <row r="22" spans="2:27" ht="19.8" customHeight="1" x14ac:dyDescent="0.25">
      <c r="M22" s="1"/>
    </row>
  </sheetData>
  <mergeCells count="15">
    <mergeCell ref="B16:C16"/>
    <mergeCell ref="H16:J16"/>
    <mergeCell ref="H17:J17"/>
    <mergeCell ref="H18:J18"/>
    <mergeCell ref="H19:J19"/>
    <mergeCell ref="H20:J20"/>
    <mergeCell ref="B8:C8"/>
    <mergeCell ref="T5:V5"/>
    <mergeCell ref="T6:V6"/>
    <mergeCell ref="T7:V7"/>
    <mergeCell ref="H5:H14"/>
    <mergeCell ref="L5:L10"/>
    <mergeCell ref="M5:M10"/>
    <mergeCell ref="T8:V8"/>
    <mergeCell ref="N5:R5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8"/>
  <sheetViews>
    <sheetView topLeftCell="A7" zoomScale="115" zoomScaleNormal="115" workbookViewId="0">
      <selection activeCell="E34" sqref="E34:P40"/>
    </sheetView>
  </sheetViews>
  <sheetFormatPr defaultRowHeight="19.8" customHeight="1" x14ac:dyDescent="0.25"/>
  <cols>
    <col min="1" max="1" width="8.88671875" style="1"/>
    <col min="2" max="2" width="3.21875" style="1" customWidth="1"/>
    <col min="3" max="3" width="3.21875" style="5" customWidth="1"/>
    <col min="4" max="6" width="8.88671875" style="1"/>
    <col min="7" max="7" width="9.88671875" style="1" bestFit="1" customWidth="1"/>
    <col min="8" max="8" width="8.88671875" style="1"/>
    <col min="9" max="9" width="12.88671875" style="1" bestFit="1" customWidth="1"/>
    <col min="10" max="10" width="8.88671875" style="1"/>
    <col min="11" max="16" width="10.77734375" style="1" customWidth="1"/>
    <col min="17" max="18" width="9.5546875" style="1" bestFit="1" customWidth="1"/>
    <col min="19" max="28" width="5.5546875" style="1" customWidth="1"/>
    <col min="29" max="16384" width="8.88671875" style="1"/>
  </cols>
  <sheetData>
    <row r="2" spans="2:16" ht="16.2" customHeight="1" x14ac:dyDescent="0.25">
      <c r="B2" s="29" t="s">
        <v>33</v>
      </c>
      <c r="C2" s="29"/>
      <c r="D2" s="29"/>
      <c r="J2"/>
      <c r="K2"/>
      <c r="L2"/>
      <c r="M2"/>
      <c r="N2"/>
      <c r="O2"/>
      <c r="P2"/>
    </row>
    <row r="3" spans="2:16" ht="19.8" customHeight="1" x14ac:dyDescent="0.25">
      <c r="B3" s="20" t="s">
        <v>21</v>
      </c>
      <c r="C3" s="21">
        <v>4</v>
      </c>
      <c r="D3" s="22" t="s">
        <v>0</v>
      </c>
      <c r="E3" s="23"/>
      <c r="F3" s="23"/>
      <c r="G3" s="23"/>
      <c r="H3" s="24"/>
      <c r="J3" s="22" t="s">
        <v>5</v>
      </c>
      <c r="K3" s="23"/>
      <c r="L3" s="23"/>
      <c r="M3" s="23"/>
      <c r="N3" s="24"/>
      <c r="O3" s="15" t="s">
        <v>23</v>
      </c>
    </row>
    <row r="4" spans="2:16" ht="19.8" customHeight="1" x14ac:dyDescent="0.25">
      <c r="B4" s="20"/>
      <c r="C4" s="21"/>
      <c r="D4" s="2" t="s">
        <v>1</v>
      </c>
      <c r="E4" s="2" t="s">
        <v>27</v>
      </c>
      <c r="F4" s="2" t="s">
        <v>28</v>
      </c>
      <c r="G4" s="2" t="s">
        <v>29</v>
      </c>
      <c r="H4" s="2" t="s">
        <v>30</v>
      </c>
      <c r="J4" s="2" t="s">
        <v>1</v>
      </c>
      <c r="K4" s="2" t="s">
        <v>27</v>
      </c>
      <c r="L4" s="2" t="s">
        <v>28</v>
      </c>
      <c r="M4" s="2" t="s">
        <v>29</v>
      </c>
      <c r="N4" s="2" t="s">
        <v>30</v>
      </c>
      <c r="O4" s="15"/>
    </row>
    <row r="5" spans="2:16" ht="19.8" customHeight="1" x14ac:dyDescent="0.25">
      <c r="B5" s="20"/>
      <c r="C5" s="21"/>
      <c r="D5" s="2" t="s">
        <v>27</v>
      </c>
      <c r="E5" s="7">
        <v>1</v>
      </c>
      <c r="F5" s="7">
        <v>5</v>
      </c>
      <c r="G5" s="7">
        <v>3</v>
      </c>
      <c r="H5" s="7">
        <v>2</v>
      </c>
      <c r="J5" s="2" t="s">
        <v>27</v>
      </c>
      <c r="K5" s="3">
        <f>E5/$E$9</f>
        <v>0.49180327868852464</v>
      </c>
      <c r="L5" s="3">
        <f>F5/$F$9</f>
        <v>0.45454545454545453</v>
      </c>
      <c r="M5" s="3">
        <f>G5/$G$9</f>
        <v>0.46153846153846156</v>
      </c>
      <c r="N5" s="3">
        <f>H5/$H$9</f>
        <v>0.52173913043478259</v>
      </c>
      <c r="O5" s="9">
        <f>SUM(K5:N5)/$C$3</f>
        <v>0.4824065813018058</v>
      </c>
    </row>
    <row r="6" spans="2:16" ht="19.8" customHeight="1" x14ac:dyDescent="0.25">
      <c r="B6" s="20"/>
      <c r="C6" s="21"/>
      <c r="D6" s="2" t="s">
        <v>28</v>
      </c>
      <c r="E6" s="8">
        <v>0.2</v>
      </c>
      <c r="F6" s="7">
        <v>1</v>
      </c>
      <c r="G6" s="8">
        <v>0.5</v>
      </c>
      <c r="H6" s="8">
        <v>0.33333333333333331</v>
      </c>
      <c r="J6" s="2" t="s">
        <v>28</v>
      </c>
      <c r="K6" s="3">
        <f>E6/$E$9</f>
        <v>9.836065573770493E-2</v>
      </c>
      <c r="L6" s="3">
        <f>F6/$F$9</f>
        <v>9.0909090909090912E-2</v>
      </c>
      <c r="M6" s="3">
        <f>G6/$G$9</f>
        <v>7.6923076923076927E-2</v>
      </c>
      <c r="N6" s="3">
        <f>H6/$H$9</f>
        <v>8.6956521739130432E-2</v>
      </c>
      <c r="O6" s="9">
        <f>SUM(K6:N6)/$C$3</f>
        <v>8.8287336327250804E-2</v>
      </c>
    </row>
    <row r="7" spans="2:16" ht="19.8" customHeight="1" x14ac:dyDescent="0.25">
      <c r="B7" s="20"/>
      <c r="C7" s="21"/>
      <c r="D7" s="2" t="s">
        <v>29</v>
      </c>
      <c r="E7" s="8">
        <v>0.33333333333333331</v>
      </c>
      <c r="F7" s="7">
        <v>2</v>
      </c>
      <c r="G7" s="7">
        <v>1</v>
      </c>
      <c r="H7" s="8">
        <v>0.5</v>
      </c>
      <c r="J7" s="2" t="s">
        <v>29</v>
      </c>
      <c r="K7" s="3">
        <f>E7/$E$9</f>
        <v>0.16393442622950818</v>
      </c>
      <c r="L7" s="3">
        <f>F7/$F$9</f>
        <v>0.18181818181818182</v>
      </c>
      <c r="M7" s="3">
        <f>G7/$G$9</f>
        <v>0.15384615384615385</v>
      </c>
      <c r="N7" s="3">
        <f>H7/$H$9</f>
        <v>0.13043478260869565</v>
      </c>
      <c r="O7" s="9">
        <f>SUM(K7:N7)/$C$3</f>
        <v>0.15750838612563489</v>
      </c>
    </row>
    <row r="8" spans="2:16" ht="19.8" customHeight="1" x14ac:dyDescent="0.25">
      <c r="B8" s="20"/>
      <c r="C8" s="21"/>
      <c r="D8" s="2" t="s">
        <v>30</v>
      </c>
      <c r="E8" s="8">
        <v>0.5</v>
      </c>
      <c r="F8" s="7">
        <v>3</v>
      </c>
      <c r="G8" s="7">
        <v>2</v>
      </c>
      <c r="H8" s="7">
        <v>1</v>
      </c>
      <c r="J8" s="2" t="s">
        <v>30</v>
      </c>
      <c r="K8" s="3">
        <f>E8/$E$9</f>
        <v>0.24590163934426232</v>
      </c>
      <c r="L8" s="3">
        <f>F8/$F$9</f>
        <v>0.27272727272727271</v>
      </c>
      <c r="M8" s="3">
        <f>G8/$G$9</f>
        <v>0.30769230769230771</v>
      </c>
      <c r="N8" s="3">
        <f>H8/$H$9</f>
        <v>0.2608695652173913</v>
      </c>
      <c r="O8" s="9">
        <f>SUM(K8:N8)/$C$3</f>
        <v>0.27179769624530853</v>
      </c>
      <c r="P8"/>
    </row>
    <row r="9" spans="2:16" ht="19.8" customHeight="1" x14ac:dyDescent="0.25">
      <c r="D9" s="1" t="s">
        <v>6</v>
      </c>
      <c r="E9" s="1">
        <f>SUM(E5:E8)</f>
        <v>2.0333333333333332</v>
      </c>
      <c r="F9" s="1">
        <f>SUM(F5:F8)</f>
        <v>11</v>
      </c>
      <c r="G9" s="1">
        <f>SUM(G5:G8)</f>
        <v>6.5</v>
      </c>
      <c r="H9" s="1">
        <f>SUM(H5:H8)</f>
        <v>3.8333333333333335</v>
      </c>
      <c r="J9"/>
      <c r="K9"/>
      <c r="L9"/>
      <c r="M9"/>
      <c r="N9"/>
      <c r="O9"/>
    </row>
    <row r="10" spans="2:16" ht="19.8" customHeight="1" x14ac:dyDescent="0.25">
      <c r="J10"/>
      <c r="K10"/>
      <c r="L10"/>
      <c r="M10"/>
      <c r="N10"/>
      <c r="O10"/>
      <c r="P10"/>
    </row>
    <row r="11" spans="2:16" ht="19.8" customHeight="1" x14ac:dyDescent="0.25">
      <c r="B11" s="29" t="s">
        <v>34</v>
      </c>
      <c r="C11" s="29"/>
      <c r="D11" s="29"/>
      <c r="E11"/>
      <c r="F11"/>
      <c r="G11"/>
      <c r="H11"/>
      <c r="I11"/>
      <c r="J11"/>
      <c r="K11"/>
      <c r="L11"/>
      <c r="M11"/>
    </row>
    <row r="12" spans="2:16" ht="19.8" customHeight="1" x14ac:dyDescent="0.25">
      <c r="B12" s="20" t="s">
        <v>21</v>
      </c>
      <c r="C12" s="21">
        <v>4</v>
      </c>
      <c r="D12" s="22" t="s">
        <v>0</v>
      </c>
      <c r="E12" s="23"/>
      <c r="F12" s="23"/>
      <c r="G12" s="23"/>
      <c r="H12" s="24"/>
      <c r="K12" s="26" t="s">
        <v>25</v>
      </c>
      <c r="L12" s="15" t="s">
        <v>23</v>
      </c>
      <c r="M12"/>
    </row>
    <row r="13" spans="2:16" ht="19.8" customHeight="1" x14ac:dyDescent="0.25">
      <c r="B13" s="20"/>
      <c r="C13" s="21"/>
      <c r="D13" s="2" t="s">
        <v>1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24</v>
      </c>
      <c r="K13" s="27"/>
      <c r="L13" s="15"/>
      <c r="M13"/>
    </row>
    <row r="14" spans="2:16" ht="19.8" customHeight="1" x14ac:dyDescent="0.25">
      <c r="B14" s="20"/>
      <c r="C14" s="21"/>
      <c r="D14" s="2" t="s">
        <v>27</v>
      </c>
      <c r="E14" s="7">
        <v>1</v>
      </c>
      <c r="F14" s="7">
        <v>5</v>
      </c>
      <c r="G14" s="7">
        <v>3</v>
      </c>
      <c r="H14" s="7">
        <v>2</v>
      </c>
      <c r="I14" s="28">
        <f>(E14*F14*G14*H14)^(1/$C$3)</f>
        <v>2.340347319320716</v>
      </c>
      <c r="K14" s="2" t="s">
        <v>27</v>
      </c>
      <c r="L14" s="9">
        <f>I14/SUM($I$14:$I$17)</f>
        <v>0.48318902596302593</v>
      </c>
      <c r="M14"/>
    </row>
    <row r="15" spans="2:16" ht="19.8" customHeight="1" x14ac:dyDescent="0.25">
      <c r="B15" s="20"/>
      <c r="C15" s="21"/>
      <c r="D15" s="2" t="s">
        <v>28</v>
      </c>
      <c r="E15" s="8">
        <v>0.2</v>
      </c>
      <c r="F15" s="7">
        <v>1</v>
      </c>
      <c r="G15" s="8">
        <v>0.5</v>
      </c>
      <c r="H15" s="8">
        <v>0.33333333333333331</v>
      </c>
      <c r="I15" s="28">
        <f t="shared" ref="I15:I17" si="0">(E15*F15*G15*H15)^(1/$C$3)</f>
        <v>0.42728700639623407</v>
      </c>
      <c r="K15" s="2" t="s">
        <v>28</v>
      </c>
      <c r="L15" s="9">
        <f t="shared" ref="L15:L17" si="1">I15/SUM($I$14:$I$17)</f>
        <v>8.8217843019632897E-2</v>
      </c>
      <c r="M15"/>
    </row>
    <row r="16" spans="2:16" ht="19.8" customHeight="1" x14ac:dyDescent="0.25">
      <c r="B16" s="20"/>
      <c r="C16" s="21"/>
      <c r="D16" s="2" t="s">
        <v>29</v>
      </c>
      <c r="E16" s="8">
        <v>0.33333333333333331</v>
      </c>
      <c r="F16" s="7">
        <v>2</v>
      </c>
      <c r="G16" s="7">
        <v>1</v>
      </c>
      <c r="H16" s="8">
        <v>0.5</v>
      </c>
      <c r="I16" s="28">
        <f t="shared" si="0"/>
        <v>0.75983568565159254</v>
      </c>
      <c r="K16" s="2" t="s">
        <v>29</v>
      </c>
      <c r="L16" s="9">
        <f t="shared" si="1"/>
        <v>0.15687597383985907</v>
      </c>
      <c r="M16"/>
    </row>
    <row r="17" spans="2:13" ht="19.8" customHeight="1" x14ac:dyDescent="0.25">
      <c r="B17" s="20"/>
      <c r="C17" s="21"/>
      <c r="D17" s="2" t="s">
        <v>30</v>
      </c>
      <c r="E17" s="8">
        <v>0.5</v>
      </c>
      <c r="F17" s="7">
        <v>3</v>
      </c>
      <c r="G17" s="7">
        <v>2</v>
      </c>
      <c r="H17" s="7">
        <v>1</v>
      </c>
      <c r="I17" s="28">
        <f t="shared" si="0"/>
        <v>1.3160740129524926</v>
      </c>
      <c r="K17" s="2" t="s">
        <v>30</v>
      </c>
      <c r="L17" s="9">
        <f t="shared" si="1"/>
        <v>0.27171715717748202</v>
      </c>
      <c r="M17"/>
    </row>
    <row r="19" spans="2:13" ht="19.8" customHeight="1" x14ac:dyDescent="0.25">
      <c r="B19" s="29" t="s">
        <v>35</v>
      </c>
      <c r="C19" s="29"/>
      <c r="D19" s="29"/>
    </row>
    <row r="20" spans="2:13" ht="19.8" customHeight="1" x14ac:dyDescent="0.25">
      <c r="B20" s="20" t="s">
        <v>21</v>
      </c>
      <c r="C20" s="21">
        <v>4</v>
      </c>
      <c r="D20" s="22" t="s">
        <v>0</v>
      </c>
      <c r="E20" s="23"/>
      <c r="F20" s="23"/>
      <c r="G20" s="23"/>
      <c r="H20" s="24"/>
      <c r="K20" s="26" t="s">
        <v>25</v>
      </c>
      <c r="L20" s="15" t="s">
        <v>23</v>
      </c>
      <c r="M20"/>
    </row>
    <row r="21" spans="2:13" ht="19.8" customHeight="1" x14ac:dyDescent="0.25">
      <c r="B21" s="20"/>
      <c r="C21" s="21"/>
      <c r="D21" s="2" t="s">
        <v>1</v>
      </c>
      <c r="E21" s="2" t="s">
        <v>27</v>
      </c>
      <c r="F21" s="2" t="s">
        <v>28</v>
      </c>
      <c r="G21" s="2" t="s">
        <v>29</v>
      </c>
      <c r="H21" s="2" t="s">
        <v>30</v>
      </c>
      <c r="I21" s="2" t="s">
        <v>26</v>
      </c>
      <c r="K21" s="27"/>
      <c r="L21" s="15"/>
      <c r="M21"/>
    </row>
    <row r="22" spans="2:13" ht="19.8" customHeight="1" x14ac:dyDescent="0.25">
      <c r="B22" s="20"/>
      <c r="C22" s="21"/>
      <c r="D22" s="2" t="s">
        <v>27</v>
      </c>
      <c r="E22" s="7">
        <v>1</v>
      </c>
      <c r="F22" s="7">
        <v>5</v>
      </c>
      <c r="G22" s="7">
        <v>3</v>
      </c>
      <c r="H22" s="7">
        <v>2</v>
      </c>
      <c r="I22" s="2">
        <v>1.7749999999999999</v>
      </c>
      <c r="K22" s="2" t="s">
        <v>27</v>
      </c>
      <c r="L22" s="9">
        <f>I22/SUM($I$22:$I$25)</f>
        <v>0.48286180631120784</v>
      </c>
      <c r="M22"/>
    </row>
    <row r="23" spans="2:13" ht="19.8" customHeight="1" x14ac:dyDescent="0.25">
      <c r="B23" s="20"/>
      <c r="C23" s="21"/>
      <c r="D23" s="2" t="s">
        <v>28</v>
      </c>
      <c r="E23" s="8">
        <v>0.2</v>
      </c>
      <c r="F23" s="7">
        <v>1</v>
      </c>
      <c r="G23" s="8">
        <v>0.5</v>
      </c>
      <c r="H23" s="8">
        <v>0.33333333333333331</v>
      </c>
      <c r="I23" s="2">
        <v>0.32400000000000001</v>
      </c>
      <c r="K23" s="2" t="s">
        <v>28</v>
      </c>
      <c r="L23" s="9">
        <f t="shared" ref="L23:L25" si="2">I23/SUM($I$22:$I$25)</f>
        <v>8.8139281828073998E-2</v>
      </c>
      <c r="M23"/>
    </row>
    <row r="24" spans="2:13" ht="19.8" customHeight="1" x14ac:dyDescent="0.25">
      <c r="B24" s="20"/>
      <c r="C24" s="21"/>
      <c r="D24" s="2" t="s">
        <v>29</v>
      </c>
      <c r="E24" s="8">
        <v>0.33333333333333331</v>
      </c>
      <c r="F24" s="7">
        <v>2</v>
      </c>
      <c r="G24" s="7">
        <v>1</v>
      </c>
      <c r="H24" s="8">
        <v>0.5</v>
      </c>
      <c r="I24" s="2">
        <v>0.57699999999999996</v>
      </c>
      <c r="K24" s="2" t="s">
        <v>29</v>
      </c>
      <c r="L24" s="9">
        <f t="shared" si="2"/>
        <v>0.15696409140369968</v>
      </c>
      <c r="M24"/>
    </row>
    <row r="25" spans="2:13" ht="19.8" customHeight="1" x14ac:dyDescent="0.25">
      <c r="B25" s="20"/>
      <c r="C25" s="21"/>
      <c r="D25" s="2" t="s">
        <v>30</v>
      </c>
      <c r="E25" s="8">
        <v>0.5</v>
      </c>
      <c r="F25" s="7">
        <v>3</v>
      </c>
      <c r="G25" s="7">
        <v>2</v>
      </c>
      <c r="H25" s="7">
        <v>1</v>
      </c>
      <c r="I25" s="2">
        <v>1</v>
      </c>
      <c r="K25" s="2" t="s">
        <v>30</v>
      </c>
      <c r="L25" s="9">
        <f t="shared" si="2"/>
        <v>0.27203482045701854</v>
      </c>
      <c r="M25"/>
    </row>
    <row r="27" spans="2:13" ht="19.8" customHeight="1" x14ac:dyDescent="0.25">
      <c r="B27" s="29" t="s">
        <v>36</v>
      </c>
      <c r="C27" s="29"/>
      <c r="D27" s="29"/>
    </row>
    <row r="28" spans="2:13" ht="19.8" customHeight="1" x14ac:dyDescent="0.25">
      <c r="B28" s="25" t="s">
        <v>25</v>
      </c>
      <c r="C28" s="25"/>
      <c r="D28" s="25"/>
      <c r="E28" s="2" t="s">
        <v>23</v>
      </c>
    </row>
    <row r="29" spans="2:13" ht="19.8" customHeight="1" x14ac:dyDescent="0.25">
      <c r="B29" s="15" t="s">
        <v>27</v>
      </c>
      <c r="C29" s="15"/>
      <c r="D29" s="15"/>
      <c r="E29" s="9">
        <f>(O5+L14+L22)/3</f>
        <v>0.48281913785867986</v>
      </c>
    </row>
    <row r="30" spans="2:13" ht="19.8" customHeight="1" x14ac:dyDescent="0.25">
      <c r="B30" s="15" t="s">
        <v>28</v>
      </c>
      <c r="C30" s="15"/>
      <c r="D30" s="15"/>
      <c r="E30" s="9">
        <f t="shared" ref="E30:E32" si="3">(O6+L15+L23)/3</f>
        <v>8.8214820391652571E-2</v>
      </c>
    </row>
    <row r="31" spans="2:13" ht="19.8" customHeight="1" x14ac:dyDescent="0.25">
      <c r="B31" s="15" t="s">
        <v>29</v>
      </c>
      <c r="C31" s="15"/>
      <c r="D31" s="15"/>
      <c r="E31" s="9">
        <f t="shared" si="3"/>
        <v>0.1571161504563979</v>
      </c>
    </row>
    <row r="32" spans="2:13" ht="19.8" customHeight="1" x14ac:dyDescent="0.25">
      <c r="B32" s="15" t="s">
        <v>30</v>
      </c>
      <c r="C32" s="15"/>
      <c r="D32" s="15"/>
      <c r="E32" s="9">
        <f t="shared" si="3"/>
        <v>0.2718498912932697</v>
      </c>
    </row>
    <row r="35" spans="5:13" ht="19.8" customHeight="1" x14ac:dyDescent="0.25">
      <c r="E35" s="32"/>
      <c r="F35" s="32"/>
      <c r="G35" s="32"/>
      <c r="J35" s="30"/>
      <c r="K35" s="30"/>
      <c r="L35" s="30"/>
      <c r="M35" s="31"/>
    </row>
    <row r="36" spans="5:13" ht="19.8" customHeight="1" x14ac:dyDescent="0.25">
      <c r="E36" s="32"/>
      <c r="F36" s="32"/>
      <c r="G36" s="32"/>
      <c r="J36" s="30"/>
      <c r="K36" s="30"/>
      <c r="L36" s="30"/>
      <c r="M36" s="31"/>
    </row>
    <row r="37" spans="5:13" ht="19.8" customHeight="1" x14ac:dyDescent="0.25">
      <c r="E37" s="32"/>
      <c r="F37" s="32"/>
      <c r="G37" s="32"/>
      <c r="J37" s="30"/>
      <c r="K37" s="30"/>
      <c r="L37" s="30"/>
      <c r="M37" s="31"/>
    </row>
    <row r="38" spans="5:13" ht="19.8" customHeight="1" x14ac:dyDescent="0.25">
      <c r="E38" s="32"/>
      <c r="F38" s="32"/>
      <c r="G38" s="32"/>
    </row>
  </sheetData>
  <mergeCells count="24">
    <mergeCell ref="B31:D31"/>
    <mergeCell ref="B32:D32"/>
    <mergeCell ref="B28:D28"/>
    <mergeCell ref="B29:D29"/>
    <mergeCell ref="B30:D30"/>
    <mergeCell ref="B2:D2"/>
    <mergeCell ref="B11:D11"/>
    <mergeCell ref="B19:D19"/>
    <mergeCell ref="B27:D27"/>
    <mergeCell ref="B3:B8"/>
    <mergeCell ref="C3:C8"/>
    <mergeCell ref="J3:N3"/>
    <mergeCell ref="D3:H3"/>
    <mergeCell ref="B12:B17"/>
    <mergeCell ref="C12:C17"/>
    <mergeCell ref="D12:H12"/>
    <mergeCell ref="K12:K13"/>
    <mergeCell ref="L12:L13"/>
    <mergeCell ref="O3:O4"/>
    <mergeCell ref="B20:B25"/>
    <mergeCell ref="C20:C25"/>
    <mergeCell ref="D20:H20"/>
    <mergeCell ref="K20:K21"/>
    <mergeCell ref="L20:L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一致性检验</vt:lpstr>
      <vt:lpstr>计算权重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寸 三</cp:lastModifiedBy>
  <dcterms:created xsi:type="dcterms:W3CDTF">2015-06-05T18:19:34Z</dcterms:created>
  <dcterms:modified xsi:type="dcterms:W3CDTF">2025-08-01T07:16:39Z</dcterms:modified>
</cp:coreProperties>
</file>